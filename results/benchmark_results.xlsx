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<sst xmlns="http://schemas.openxmlformats.org/spreadsheetml/2006/main" count="60" uniqueCount="57">
  <si>
    <t xml:space="preserve">Edge NPU Benchmark — Results (RPi5 CPU [NCNN FP32] vs RPi5 + Hailo-8 [INT8])</t>
  </si>
  <si>
    <t xml:space="preserve">Assumptions</t>
  </si>
  <si>
    <t xml:space="preserve">NPU power (W)</t>
  </si>
  <si>
    <t xml:space="preserve">Hailo-8 datasheet typical — manufacturer-reported, not measured</t>
  </si>
  <si>
    <t xml:space="preserve">CPU  (FP32, NCNN, measured)</t>
  </si>
  <si>
    <t xml:space="preserve">NPU  (INT8, measured)</t>
  </si>
  <si>
    <t xml:space="preserve">Derived</t>
  </si>
  <si>
    <t xml:space="preserve">Hailo Model Zoo reference (DFC v2.18.0)</t>
  </si>
  <si>
    <t xml:space="preserve">Model</t>
  </si>
  <si>
    <t xml:space="preserve">mAP50-95</t>
  </si>
  <si>
    <t xml:space="preserve">mAP50</t>
  </si>
  <si>
    <t xml:space="preserve">MIS (FPS)</t>
  </si>
  <si>
    <t xml:space="preserve">IPM</t>
  </si>
  <si>
    <t xml:space="preserve">Power (W)</t>
  </si>
  <si>
    <t xml:space="preserve">EPI (J/inf)</t>
  </si>
  <si>
    <t xml:space="preserve">FPS (hw)</t>
  </si>
  <si>
    <t xml:space="preserve">Lat (ms)</t>
  </si>
  <si>
    <t xml:space="preserve">Speedup</t>
  </si>
  <si>
    <t xml:space="preserve">Quant drop Δ</t>
  </si>
  <si>
    <t xml:space="preserve">Energy ×</t>
  </si>
  <si>
    <t xml:space="preserve">float mAP</t>
  </si>
  <si>
    <t xml:space="preserve">hw mAP</t>
  </si>
  <si>
    <t xml:space="preserve">Δ vs hw</t>
  </si>
  <si>
    <t xml:space="preserve">spec FPS</t>
  </si>
  <si>
    <t xml:space="preserve">Pi/spec</t>
  </si>
  <si>
    <t xml:space="preserve">YOLOv8n</t>
  </si>
  <si>
    <t xml:space="preserve">YOLOv8s</t>
  </si>
  <si>
    <t xml:space="preserve">YOLOv8m</t>
  </si>
  <si>
    <t xml:space="preserve">YOLOv11n</t>
  </si>
  <si>
    <t xml:space="preserve">YOLOv11s</t>
  </si>
  <si>
    <t xml:space="preserve">YOLOv11m</t>
  </si>
  <si>
    <t xml:space="preserve">Edge NPU Benchmark — notes &amp; sources</t>
  </si>
  <si>
    <t xml:space="preserve">Hardware: Raspberry Pi 5 (8GB) + Hailo-8 (AI HAT+, 26 TOPS, PCIe Gen3 x1).</t>
  </si>
  <si>
    <t xml:space="preserve">CPU path: Ultralytics YOLO exported to NCNN, FP32 (matches seed paper's RPi5 setup).</t>
  </si>
  <si>
    <t xml:space="preserve">NPU path: HailoRT INT8, Hailo Model Zoo HEFs.</t>
  </si>
  <si>
    <t xml:space="preserve">Dataset: COCO val2017. mAP = COCO AP via pycocotools.</t>
  </si>
  <si>
    <t xml:space="preserve">MEASURED:</t>
  </si>
  <si>
    <t xml:space="preserve"> CPU MIS/IPM/Power/EPI: ncnn_cpu_bench.py (pmic_read_adc logged during MIS run).</t>
  </si>
  <si>
    <t xml:space="preserve">   MIS = 1000/mean inference-ms; IPM = full-loop count in 60s; EPI = Power*60/IPM.</t>
  </si>
  <si>
    <t xml:space="preserve"> CPU mAP: all six, NCNN FP32, full COCO val, faster-coco-eval. v8 NCNN matches the</t>
  </si>
  <si>
    <t xml:space="preserve">   earlier PyTorch mAP within 0.001 -&gt; export is lossless. CPU path is uniformly NCNN.</t>
  </si>
  <si>
    <t xml:space="preserve"> NPU mAP: DeGirum local zoo + pycocotools (reproduces Hailo published hw mAP, col R).</t>
  </si>
  <si>
    <t xml:space="preserve"> NPU FPS/latency: hailortcli benchmark (hw_only).</t>
  </si>
  <si>
    <t xml:space="preserve">REFERENCE (not measured):</t>
  </si>
  <si>
    <t xml:space="preserve"> Hailo float/hw mAP + spec FPS: Hailo Model Zoo HAILO8 object detection table.</t>
  </si>
  <si>
    <t xml:space="preserve"> NPU power: Hailo datasheet typical 2.5 W (AI HAT+ exposes no power telemetry;</t>
  </si>
  <si>
    <t xml:space="preserve">   Pi PMIC can't read the 5V rail the HAT uses). NPU EPI = 2.5 / FPS.</t>
  </si>
  <si>
    <t xml:space="preserve">KEY FINDINGS:</t>
  </si>
  <si>
    <t xml:space="preserve"> 1. NPU speedup 8-82x over a FAIR NCNN CPU baseline (col M): largest for light v8</t>
  </si>
  <si>
    <t xml:space="preserve">    models, smallest for v11/medium (which are also slower on the Hailo).</t>
  </si>
  <si>
    <t xml:space="preserve"> 2. NPU is 12-110x more energy-efficient per inference (col O).</t>
  </si>
  <si>
    <t xml:space="preserve"> 3. INT8 quant drop 0.7-1.3 pt mAP (col N, all measured): far below the seed paper's</t>
  </si>
  <si>
    <t xml:space="preserve">    6+ pt INT8 losses -&gt; degradation is a calibration/method issue, not INT8 itself.</t>
  </si>
  <si>
    <t xml:space="preserve">    v11 quantizes slightly worse than v8 (1.1-1.3 vs 0.7-0.9 pt).</t>
  </si>
  <si>
    <t xml:space="preserve"> 4. Measured NPU mAP reproduces Hailo's published numbers within ~0.4 pt (col R).</t>
  </si>
  <si>
    <t xml:space="preserve"> 5. Pi reaches ~0.4-0.6x the chip's spec FPS (col T) = PCIe Gen3 x1 limit.</t>
  </si>
  <si>
    <t xml:space="preserve">CAVEAT: CPU EPI uses IPM (full loop); NPU EPI uses spec power / hw FPS. State this.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</si>
</sst>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.00"/>
    <numFmt numFmtId="167" formatCode="0"/>
    <numFmt numFmtId="168" formatCode="0.0000"/>
    <numFmt numFmtId="169" formatCode="0.0"/>
    <numFmt numFmtId="170" formatCode="0.0\×"/>
    <numFmt numFmtId="171" formatCode="\+0.000;\-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EDEDED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1"/>
    <col collapsed="false" customWidth="true" hidden="false" outlineLevel="0" max="15" min="15" style="0" width="8"/>
    <col collapsed="false" customWidth="true" hidden="false" outlineLevel="0" max="16" min="16" style="0" width="9"/>
    <col collapsed="false" customWidth="true" hidden="false" outlineLevel="0" max="17" min="17" style="0" width="8"/>
    <col collapsed="false" customWidth="true" hidden="false" outlineLevel="0" max="18" min="18" style="0" width="9"/>
    <col collapsed="false" customWidth="true" hidden="false" outlineLevel="0" max="20" min="19" style="0" width="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  <c r="B4" s="3" t="n">
        <v>2.5</v>
      </c>
      <c r="C4" s="4" t="s">
        <v>3</v>
      </c>
    </row>
    <row r="6" customFormat="false" ht="15" hidden="false" customHeight="false" outlineLevel="0" collapsed="false">
      <c r="B6" s="5" t="s">
        <v>4</v>
      </c>
      <c r="C6" s="5"/>
      <c r="D6" s="5"/>
      <c r="E6" s="5"/>
      <c r="F6" s="5"/>
      <c r="G6" s="5"/>
      <c r="H6" s="5" t="s">
        <v>5</v>
      </c>
      <c r="I6" s="5"/>
      <c r="J6" s="5"/>
      <c r="K6" s="5"/>
      <c r="L6" s="5"/>
      <c r="M6" s="5" t="s">
        <v>6</v>
      </c>
      <c r="N6" s="5"/>
      <c r="O6" s="5"/>
      <c r="P6" s="5" t="s">
        <v>7</v>
      </c>
      <c r="Q6" s="5"/>
      <c r="R6" s="5"/>
      <c r="S6" s="5"/>
      <c r="T6" s="5"/>
    </row>
    <row r="7" customFormat="false" ht="26.85" hidden="false" customHeight="false" outlineLevel="0" collapsed="false">
      <c r="A7" s="6" t="s">
        <v>8</v>
      </c>
      <c r="B7" s="6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6" t="s">
        <v>14</v>
      </c>
      <c r="H7" s="6" t="s">
        <v>9</v>
      </c>
      <c r="I7" s="6" t="s">
        <v>10</v>
      </c>
      <c r="J7" s="6" t="s">
        <v>15</v>
      </c>
      <c r="K7" s="6" t="s">
        <v>16</v>
      </c>
      <c r="L7" s="6" t="s">
        <v>14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</row>
    <row r="8" customFormat="false" ht="15" hidden="false" customHeight="false" outlineLevel="0" collapsed="false">
      <c r="A8" s="7" t="s">
        <v>25</v>
      </c>
      <c r="B8" s="8" t="n">
        <v>0.373</v>
      </c>
      <c r="C8" s="8" t="n">
        <v>0.526</v>
      </c>
      <c r="D8" s="9" t="n">
        <v>13.51</v>
      </c>
      <c r="E8" s="10" t="n">
        <v>724</v>
      </c>
      <c r="F8" s="8" t="n">
        <v>3.154</v>
      </c>
      <c r="G8" s="11" t="n">
        <f aca="false">IF(OR(E8="",F8=""),"",F8*60/E8)</f>
        <v>0.261381215469613</v>
      </c>
      <c r="H8" s="12" t="n">
        <v>0.3663</v>
      </c>
      <c r="I8" s="12" t="n">
        <v>0.5182</v>
      </c>
      <c r="J8" s="13" t="n">
        <v>431.49</v>
      </c>
      <c r="K8" s="14" t="n">
        <v>3.35</v>
      </c>
      <c r="L8" s="15" t="n">
        <f aca="false">IF(J8="","",$B$4/J8)</f>
        <v>0.0057938770307539</v>
      </c>
      <c r="M8" s="16" t="n">
        <f aca="false">IF(OR(D8="",J8=""),"",J8/D8)</f>
        <v>31.9385640266469</v>
      </c>
      <c r="N8" s="17" t="n">
        <f aca="false">IF(B8="","",B8-H8)</f>
        <v>0.00669999999999998</v>
      </c>
      <c r="O8" s="16" t="n">
        <f aca="false">IF(OR(G8="",L8="",L8=0),"",G8/L8)</f>
        <v>45.1133522651934</v>
      </c>
      <c r="P8" s="18" t="n">
        <v>0.37</v>
      </c>
      <c r="Q8" s="18" t="n">
        <v>0.364</v>
      </c>
      <c r="R8" s="19" t="n">
        <f aca="false">IF(H8="","",H8-Q8)</f>
        <v>0.00230000000000002</v>
      </c>
      <c r="S8" s="20" t="n">
        <v>1036</v>
      </c>
      <c r="T8" s="21" t="n">
        <f aca="false">IF(OR(J8="",S8=""),"",J8/S8)</f>
        <v>0.416496138996139</v>
      </c>
    </row>
    <row r="9" customFormat="false" ht="15" hidden="false" customHeight="false" outlineLevel="0" collapsed="false">
      <c r="A9" s="7" t="s">
        <v>26</v>
      </c>
      <c r="B9" s="8" t="n">
        <v>0.45</v>
      </c>
      <c r="C9" s="8" t="n">
        <v>0.617</v>
      </c>
      <c r="D9" s="9" t="n">
        <v>6.01</v>
      </c>
      <c r="E9" s="10" t="n">
        <v>344</v>
      </c>
      <c r="F9" s="8" t="n">
        <v>3.23</v>
      </c>
      <c r="G9" s="11" t="n">
        <f aca="false">IF(OR(E9="",F9=""),"",F9*60/E9)</f>
        <v>0.563372093023256</v>
      </c>
      <c r="H9" s="12" t="n">
        <v>0.4413</v>
      </c>
      <c r="I9" s="12" t="n">
        <v>0.6094</v>
      </c>
      <c r="J9" s="13" t="n">
        <v>491.27</v>
      </c>
      <c r="K9" s="14" t="n">
        <v>5.83</v>
      </c>
      <c r="L9" s="15" t="n">
        <f aca="false">IF(J9="","",$B$4/J9)</f>
        <v>0.00508885134447453</v>
      </c>
      <c r="M9" s="16" t="n">
        <f aca="false">IF(OR(D9="",J9=""),"",J9/D9)</f>
        <v>81.7420965058236</v>
      </c>
      <c r="N9" s="17" t="n">
        <f aca="false">IF(B9="","",B9-H9)</f>
        <v>0.00869999999999999</v>
      </c>
      <c r="O9" s="16" t="n">
        <f aca="false">IF(OR(G9="",L9="",L9=0),"",G9/L9)</f>
        <v>110.707123255814</v>
      </c>
      <c r="P9" s="18" t="n">
        <v>0.446</v>
      </c>
      <c r="Q9" s="18" t="n">
        <v>0.44</v>
      </c>
      <c r="R9" s="19" t="n">
        <f aca="false">IF(H9="","",H9-Q9)</f>
        <v>0.00130000000000002</v>
      </c>
      <c r="S9" s="20" t="n">
        <v>491</v>
      </c>
      <c r="T9" s="21" t="n">
        <f aca="false">IF(OR(J9="",S9=""),"",J9/S9)</f>
        <v>1.00054989816701</v>
      </c>
    </row>
    <row r="10" customFormat="false" ht="15" hidden="false" customHeight="false" outlineLevel="0" collapsed="false">
      <c r="A10" s="7" t="s">
        <v>27</v>
      </c>
      <c r="B10" s="8" t="n">
        <v>0.502</v>
      </c>
      <c r="C10" s="8" t="n">
        <v>0.671</v>
      </c>
      <c r="D10" s="9" t="n">
        <v>2.81</v>
      </c>
      <c r="E10" s="10" t="n">
        <v>165</v>
      </c>
      <c r="F10" s="8" t="n">
        <v>3.376</v>
      </c>
      <c r="G10" s="11" t="n">
        <f aca="false">IF(OR(E10="",F10=""),"",F10*60/E10)</f>
        <v>1.22763636363636</v>
      </c>
      <c r="H10" s="12" t="n">
        <v>0.4946</v>
      </c>
      <c r="I10" s="12" t="n">
        <v>0.6628</v>
      </c>
      <c r="J10" s="13" t="n">
        <v>31.47</v>
      </c>
      <c r="K10" s="14" t="n">
        <v>25.84</v>
      </c>
      <c r="L10" s="15" t="n">
        <f aca="false">IF(J10="","",$B$4/J10)</f>
        <v>0.0794407372100413</v>
      </c>
      <c r="M10" s="16" t="n">
        <f aca="false">IF(OR(D10="",J10=""),"",J10/D10)</f>
        <v>11.1992882562278</v>
      </c>
      <c r="N10" s="17" t="n">
        <f aca="false">IF(B10="","",B10-H10)</f>
        <v>0.00740000000000002</v>
      </c>
      <c r="O10" s="16" t="n">
        <f aca="false">IF(OR(G10="",L10="",L10=0),"",G10/L10)</f>
        <v>15.4534865454545</v>
      </c>
      <c r="P10" s="18" t="n">
        <v>0.499</v>
      </c>
      <c r="Q10" s="18" t="n">
        <v>0.492</v>
      </c>
      <c r="R10" s="19" t="n">
        <f aca="false">IF(H10="","",H10-Q10)</f>
        <v>0.00259999999999999</v>
      </c>
      <c r="S10" s="20" t="n">
        <v>67.3</v>
      </c>
      <c r="T10" s="21" t="n">
        <f aca="false">IF(OR(J10="",S10=""),"",J10/S10)</f>
        <v>0.467607726597325</v>
      </c>
    </row>
    <row r="11" customFormat="false" ht="15" hidden="false" customHeight="false" outlineLevel="0" collapsed="false">
      <c r="A11" s="7" t="s">
        <v>28</v>
      </c>
      <c r="B11" s="8" t="n">
        <v>0.393</v>
      </c>
      <c r="C11" s="8" t="n">
        <v>0.551</v>
      </c>
      <c r="D11" s="9" t="n">
        <v>13.89</v>
      </c>
      <c r="E11" s="10" t="n">
        <v>745</v>
      </c>
      <c r="F11" s="8" t="n">
        <v>3.462</v>
      </c>
      <c r="G11" s="11" t="n">
        <f aca="false">IF(OR(E11="",F11=""),"",F11*60/E11)</f>
        <v>0.278818791946309</v>
      </c>
      <c r="H11" s="12" t="n">
        <v>0.3797</v>
      </c>
      <c r="I11" s="12" t="n">
        <v>0.5364</v>
      </c>
      <c r="J11" s="13" t="n">
        <v>104.91</v>
      </c>
      <c r="K11" s="14" t="n">
        <v>7.75</v>
      </c>
      <c r="L11" s="15" t="n">
        <f aca="false">IF(J11="","",$B$4/J11)</f>
        <v>0.0238299494805071</v>
      </c>
      <c r="M11" s="16" t="n">
        <f aca="false">IF(OR(D11="",J11=""),"",J11/D11)</f>
        <v>7.55291576673866</v>
      </c>
      <c r="N11" s="17" t="n">
        <f aca="false">IF(B11="","",B11-H11)</f>
        <v>0.0133</v>
      </c>
      <c r="O11" s="16" t="n">
        <f aca="false">IF(OR(G11="",L11="",L11=0),"",G11/L11)</f>
        <v>11.7003517852349</v>
      </c>
      <c r="P11" s="18" t="n">
        <v>0.39</v>
      </c>
      <c r="Q11" s="18" t="n">
        <v>0.378</v>
      </c>
      <c r="R11" s="19" t="n">
        <f aca="false">IF(H11="","",H11-Q11)</f>
        <v>0.00169999999999998</v>
      </c>
      <c r="S11" s="20" t="n">
        <v>185</v>
      </c>
      <c r="T11" s="21" t="n">
        <f aca="false">IF(OR(J11="",S11=""),"",J11/S11)</f>
        <v>0.567081081081081</v>
      </c>
    </row>
    <row r="12" customFormat="false" ht="15" hidden="false" customHeight="false" outlineLevel="0" collapsed="false">
      <c r="A12" s="7" t="s">
        <v>29</v>
      </c>
      <c r="B12" s="8" t="n">
        <v>0.466</v>
      </c>
      <c r="C12" s="8" t="n">
        <v>0.635</v>
      </c>
      <c r="D12" s="9" t="n">
        <v>5.98</v>
      </c>
      <c r="E12" s="10" t="n">
        <v>341</v>
      </c>
      <c r="F12" s="8" t="n">
        <v>3.252</v>
      </c>
      <c r="G12" s="11" t="n">
        <f aca="false">IF(OR(E12="",F12=""),"",F12*60/E12)</f>
        <v>0.572199413489736</v>
      </c>
      <c r="H12" s="12" t="n">
        <v>0.4553</v>
      </c>
      <c r="I12" s="12" t="n">
        <v>0.624</v>
      </c>
      <c r="J12" s="13" t="n">
        <v>51.98</v>
      </c>
      <c r="K12" s="14" t="n">
        <v>15.62</v>
      </c>
      <c r="L12" s="15" t="n">
        <f aca="false">IF(J12="","",$B$4/J12)</f>
        <v>0.0480954213158907</v>
      </c>
      <c r="M12" s="16" t="n">
        <f aca="false">IF(OR(D12="",J12=""),"",J12/D12)</f>
        <v>8.69230769230769</v>
      </c>
      <c r="N12" s="17" t="n">
        <f aca="false">IF(B12="","",B12-H12)</f>
        <v>0.0107</v>
      </c>
      <c r="O12" s="16" t="n">
        <f aca="false">IF(OR(G12="",L12="",L12=0),"",G12/L12)</f>
        <v>11.8971702052786</v>
      </c>
      <c r="P12" s="18" t="n">
        <v>0.463</v>
      </c>
      <c r="Q12" s="18" t="n">
        <v>0.455</v>
      </c>
      <c r="R12" s="19" t="n">
        <f aca="false">IF(H12="","",H12-Q12)</f>
        <v>0.000299999999999967</v>
      </c>
      <c r="S12" s="20" t="n">
        <v>111</v>
      </c>
      <c r="T12" s="21" t="n">
        <f aca="false">IF(OR(J12="",S12=""),"",J12/S12)</f>
        <v>0.468288288288288</v>
      </c>
    </row>
    <row r="13" customFormat="false" ht="15" hidden="false" customHeight="false" outlineLevel="0" collapsed="false">
      <c r="A13" s="7" t="s">
        <v>30</v>
      </c>
      <c r="B13" s="8" t="n">
        <v>0.513</v>
      </c>
      <c r="C13" s="8" t="n">
        <v>0.682</v>
      </c>
      <c r="D13" s="9" t="n">
        <v>1.89</v>
      </c>
      <c r="E13" s="10" t="n">
        <v>112</v>
      </c>
      <c r="F13" s="8" t="n">
        <v>3.306</v>
      </c>
      <c r="G13" s="11" t="n">
        <f aca="false">IF(OR(E13="",F13=""),"",F13*60/E13)</f>
        <v>1.77107142857143</v>
      </c>
      <c r="H13" s="12" t="n">
        <v>0.5019</v>
      </c>
      <c r="I13" s="12" t="n">
        <v>0.6679</v>
      </c>
      <c r="J13" s="13" t="n">
        <v>24.35</v>
      </c>
      <c r="K13" s="14" t="n">
        <v>32.52</v>
      </c>
      <c r="L13" s="15" t="n">
        <f aca="false">IF(J13="","",$B$4/J13)</f>
        <v>0.102669404517454</v>
      </c>
      <c r="M13" s="16" t="n">
        <f aca="false">IF(OR(D13="",J13=""),"",J13/D13)</f>
        <v>12.8835978835979</v>
      </c>
      <c r="N13" s="17" t="n">
        <f aca="false">IF(B13="","",B13-H13)</f>
        <v>0.0111</v>
      </c>
      <c r="O13" s="16" t="n">
        <f aca="false">IF(OR(G13="",L13="",L13=0),"",G13/L13)</f>
        <v>17.2502357142857</v>
      </c>
      <c r="P13" s="18" t="n">
        <v>0.511</v>
      </c>
      <c r="Q13" s="18" t="n">
        <v>0.498</v>
      </c>
      <c r="R13" s="19" t="n">
        <f aca="false">IF(H13="","",H13-Q13)</f>
        <v>0.00390000000000001</v>
      </c>
      <c r="S13" s="20" t="n">
        <v>50.2</v>
      </c>
      <c r="T13" s="21" t="n">
        <f aca="false">IF(OR(J13="",S13=""),"",J13/S13)</f>
        <v>0.485059760956175</v>
      </c>
    </row>
  </sheetData>
  <mergeCells count="4">
    <mergeCell ref="B6:G6"/>
    <mergeCell ref="H6:L6"/>
    <mergeCell ref="M6:O6"/>
    <mergeCell ref="P6:T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6.15" hidden="false" customHeight="false" outlineLevel="0" collapsed="false">
      <c r="A1" s="22" t="s">
        <v>31</v>
      </c>
    </row>
    <row r="2" customFormat="false" ht="15" hidden="false" customHeight="false" outlineLevel="0" collapsed="false">
      <c r="A2" s="23"/>
    </row>
    <row r="3" customFormat="false" ht="15" hidden="false" customHeight="false" outlineLevel="0" collapsed="false">
      <c r="A3" s="23" t="s">
        <v>32</v>
      </c>
    </row>
    <row r="4" customFormat="false" ht="15" hidden="false" customHeight="false" outlineLevel="0" collapsed="false">
      <c r="A4" s="23" t="s">
        <v>33</v>
      </c>
    </row>
    <row r="5" customFormat="false" ht="15" hidden="false" customHeight="false" outlineLevel="0" collapsed="false">
      <c r="A5" s="23" t="s">
        <v>34</v>
      </c>
    </row>
    <row r="6" customFormat="false" ht="15" hidden="false" customHeight="false" outlineLevel="0" collapsed="false">
      <c r="A6" s="23" t="s">
        <v>35</v>
      </c>
    </row>
    <row r="7" customFormat="false" ht="15" hidden="false" customHeight="false" outlineLevel="0" collapsed="false">
      <c r="A7" s="23"/>
    </row>
    <row r="8" customFormat="false" ht="15" hidden="false" customHeight="false" outlineLevel="0" collapsed="false">
      <c r="A8" s="24" t="s">
        <v>36</v>
      </c>
    </row>
    <row r="9" customFormat="false" ht="15" hidden="false" customHeight="false" outlineLevel="0" collapsed="false">
      <c r="A9" s="23" t="s">
        <v>37</v>
      </c>
    </row>
    <row r="10" customFormat="false" ht="15" hidden="false" customHeight="false" outlineLevel="0" collapsed="false">
      <c r="A10" s="23" t="s">
        <v>38</v>
      </c>
    </row>
    <row r="11" customFormat="false" ht="15" hidden="false" customHeight="false" outlineLevel="0" collapsed="false">
      <c r="A11" s="23" t="s">
        <v>39</v>
      </c>
    </row>
    <row r="12" customFormat="false" ht="15" hidden="false" customHeight="false" outlineLevel="0" collapsed="false">
      <c r="A12" s="23" t="s">
        <v>40</v>
      </c>
    </row>
    <row r="13" customFormat="false" ht="15" hidden="false" customHeight="false" outlineLevel="0" collapsed="false">
      <c r="A13" s="23" t="s">
        <v>41</v>
      </c>
    </row>
    <row r="14" customFormat="false" ht="15" hidden="false" customHeight="false" outlineLevel="0" collapsed="false">
      <c r="A14" s="23" t="s">
        <v>42</v>
      </c>
    </row>
    <row r="15" customFormat="false" ht="15" hidden="false" customHeight="false" outlineLevel="0" collapsed="false">
      <c r="A15" s="24" t="s">
        <v>43</v>
      </c>
    </row>
    <row r="16" customFormat="false" ht="15" hidden="false" customHeight="false" outlineLevel="0" collapsed="false">
      <c r="A16" s="23" t="s">
        <v>44</v>
      </c>
    </row>
    <row r="17" customFormat="false" ht="15" hidden="false" customHeight="false" outlineLevel="0" collapsed="false">
      <c r="A17" s="23" t="s">
        <v>45</v>
      </c>
    </row>
    <row r="18" customFormat="false" ht="15" hidden="false" customHeight="false" outlineLevel="0" collapsed="false">
      <c r="A18" s="23" t="s">
        <v>46</v>
      </c>
    </row>
    <row r="19" customFormat="false" ht="15" hidden="false" customHeight="false" outlineLevel="0" collapsed="false">
      <c r="A19" s="23"/>
    </row>
    <row r="20" customFormat="false" ht="15" hidden="false" customHeight="false" outlineLevel="0" collapsed="false">
      <c r="A20" s="24" t="s">
        <v>47</v>
      </c>
    </row>
    <row r="21" customFormat="false" ht="15" hidden="false" customHeight="false" outlineLevel="0" collapsed="false">
      <c r="A21" s="23" t="s">
        <v>48</v>
      </c>
    </row>
    <row r="22" customFormat="false" ht="15" hidden="false" customHeight="false" outlineLevel="0" collapsed="false">
      <c r="A22" s="23" t="s">
        <v>49</v>
      </c>
    </row>
    <row r="23" customFormat="false" ht="15" hidden="false" customHeight="false" outlineLevel="0" collapsed="false">
      <c r="A23" s="23" t="s">
        <v>50</v>
      </c>
    </row>
    <row r="24" customFormat="false" ht="15" hidden="false" customHeight="false" outlineLevel="0" collapsed="false">
      <c r="A24" s="23" t="s">
        <v>51</v>
      </c>
    </row>
    <row r="25" customFormat="false" ht="15" hidden="false" customHeight="false" outlineLevel="0" collapsed="false">
      <c r="A25" s="23" t="s">
        <v>52</v>
      </c>
    </row>
    <row r="26" customFormat="false" ht="15" hidden="false" customHeight="false" outlineLevel="0" collapsed="false">
      <c r="A26" s="23" t="s">
        <v>53</v>
      </c>
    </row>
    <row r="27" customFormat="false" ht="15" hidden="false" customHeight="false" outlineLevel="0" collapsed="false">
      <c r="A27" s="23" t="s">
        <v>54</v>
      </c>
    </row>
    <row r="28" customFormat="false" ht="15" hidden="false" customHeight="false" outlineLevel="0" collapsed="false">
      <c r="A28" s="23" t="s">
        <v>55</v>
      </c>
    </row>
    <row r="29" customFormat="false" ht="15" hidden="false" customHeight="false" outlineLevel="0" collapsed="false">
      <c r="A29" s="23"/>
    </row>
    <row r="30" customFormat="false" ht="15" hidden="false" customHeight="false" outlineLevel="0" collapsed="false">
      <c r="A30" s="2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2026-06-29T17:37:55Z</dcterms:created>
  <dc:creator>openpyxl</dc:creator>
  <dc:description/>
  <dc:language>en-US</dc:language>
  <cp:lastModifiedBy/>
  <dcterms:modified xsi:type="dcterms:W3CDTF">2026-06-29T17:37:55Z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